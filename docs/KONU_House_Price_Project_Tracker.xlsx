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'Tracker'!$A$4:$F$40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  <sz val="10"/>
    </font>
    <font>
      <name val="Arial"/>
      <b val="1"/>
      <color rgb="000000FF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4CCCC"/>
          <b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4" customWidth="1" min="3" max="3"/>
    <col width="14" customWidth="1" min="4" max="4"/>
    <col width="14" customWidth="1" min="5" max="5"/>
    <col width="52" customWidth="1" min="6" max="6"/>
  </cols>
  <sheetData>
    <row r="1">
      <c r="A1" s="1" t="inlineStr">
        <is>
          <t>KONU House Price Prediction: Task Tracker</t>
        </is>
      </c>
    </row>
    <row r="2">
      <c r="A2" s="2" t="inlineStr">
        <is>
          <t>Pick a status from the drop-down in column E (blue cells). Summary tab updates automatically.</t>
        </is>
      </c>
    </row>
    <row r="4">
      <c r="A4" s="3" t="inlineStr">
        <is>
          <t>#</t>
        </is>
      </c>
      <c r="B4" s="3" t="inlineStr">
        <is>
          <t>Module</t>
        </is>
      </c>
      <c r="C4" s="3" t="inlineStr">
        <is>
          <t>Sub-task</t>
        </is>
      </c>
      <c r="D4" s="3" t="inlineStr">
        <is>
          <t>Owner</t>
        </is>
      </c>
      <c r="E4" s="3" t="inlineStr">
        <is>
          <t>Status</t>
        </is>
      </c>
      <c r="F4" s="3" t="inlineStr">
        <is>
          <t>Notes</t>
        </is>
      </c>
    </row>
    <row r="5">
      <c r="A5" s="4" t="n">
        <v>1</v>
      </c>
      <c r="B5" s="5" t="inlineStr">
        <is>
          <t>1. Data Extraction</t>
        </is>
      </c>
      <c r="C5" s="6" t="inlineStr">
        <is>
          <t>NoBroker crawler</t>
        </is>
      </c>
      <c r="D5" s="5" t="inlineStr"/>
      <c r="E5" s="7" t="inlineStr">
        <is>
          <t>Done</t>
        </is>
      </c>
      <c r="F5" s="6" t="inlineStr">
        <is>
          <t>Sale listings; rent optional</t>
        </is>
      </c>
    </row>
    <row r="6">
      <c r="A6" s="4" t="n">
        <v>2</v>
      </c>
      <c r="B6" s="5" t="inlineStr">
        <is>
          <t>1. Data Extraction</t>
        </is>
      </c>
      <c r="C6" s="6" t="inlineStr">
        <is>
          <t>MagicBricks crawler</t>
        </is>
      </c>
      <c r="D6" s="5" t="inlineStr"/>
      <c r="E6" s="7" t="inlineStr">
        <is>
          <t>Done</t>
        </is>
      </c>
      <c r="F6" s="6" t="inlineStr">
        <is>
          <t>Project-level pages</t>
        </is>
      </c>
    </row>
    <row r="7">
      <c r="A7" s="4" t="n">
        <v>3</v>
      </c>
      <c r="B7" s="5" t="inlineStr">
        <is>
          <t>1. Data Extraction</t>
        </is>
      </c>
      <c r="C7" s="6" t="inlineStr">
        <is>
          <t>SquareYards crawler</t>
        </is>
      </c>
      <c r="D7" s="5" t="inlineStr"/>
      <c r="E7" s="7" t="inlineStr">
        <is>
          <t>Done</t>
        </is>
      </c>
      <c r="F7" s="6" t="inlineStr">
        <is>
          <t>Resale listings + projects</t>
        </is>
      </c>
    </row>
    <row r="8">
      <c r="A8" s="4" t="n">
        <v>4</v>
      </c>
      <c r="B8" s="5" t="inlineStr">
        <is>
          <t>1. Data Extraction</t>
        </is>
      </c>
      <c r="C8" s="6" t="inlineStr">
        <is>
          <t>RealestateIndia crawler</t>
        </is>
      </c>
      <c r="D8" s="5" t="inlineStr"/>
      <c r="E8" s="7" t="inlineStr">
        <is>
          <t>Done</t>
        </is>
      </c>
      <c r="F8" s="6" t="inlineStr"/>
    </row>
    <row r="9">
      <c r="A9" s="4" t="n">
        <v>5</v>
      </c>
      <c r="B9" s="5" t="inlineStr">
        <is>
          <t>1. Data Extraction</t>
        </is>
      </c>
      <c r="C9" s="6" t="inlineStr">
        <is>
          <t>PropTiger crawler</t>
        </is>
      </c>
      <c r="D9" s="5" t="inlineStr"/>
      <c r="E9" s="7" t="inlineStr">
        <is>
          <t>Done</t>
        </is>
      </c>
      <c r="F9" s="6" t="inlineStr">
        <is>
          <t>Project-level; many have no price</t>
        </is>
      </c>
    </row>
    <row r="10">
      <c r="A10" s="4" t="n">
        <v>6</v>
      </c>
      <c r="B10" s="5" t="inlineStr">
        <is>
          <t>1. Data Extraction</t>
        </is>
      </c>
      <c r="C10" s="6" t="inlineStr">
        <is>
          <t>99acres crawler</t>
        </is>
      </c>
      <c r="D10" s="5" t="inlineStr"/>
      <c r="E10" s="7" t="inlineStr">
        <is>
          <t>Pending</t>
        </is>
      </c>
      <c r="F10" s="6" t="inlineStr">
        <is>
          <t>Site blocks bots; need an official data route</t>
        </is>
      </c>
    </row>
    <row r="11">
      <c r="A11" s="4" t="n">
        <v>7</v>
      </c>
      <c r="B11" s="5" t="inlineStr">
        <is>
          <t>1. Data Extraction</t>
        </is>
      </c>
      <c r="C11" s="6" t="inlineStr">
        <is>
          <t>Scheduler (auto, resumable runs)</t>
        </is>
      </c>
      <c r="D11" s="5" t="inlineStr"/>
      <c r="E11" s="7" t="inlineStr">
        <is>
          <t>Done</t>
        </is>
      </c>
      <c r="F11" s="6" t="inlineStr">
        <is>
          <t>python -m konu.scheduler</t>
        </is>
      </c>
    </row>
    <row r="12">
      <c r="A12" s="4" t="n">
        <v>8</v>
      </c>
      <c r="B12" s="5" t="inlineStr">
        <is>
          <t>1. Data Extraction</t>
        </is>
      </c>
      <c r="C12" s="6" t="inlineStr">
        <is>
          <t>Full crawl of all pages</t>
        </is>
      </c>
      <c r="D12" s="5" t="inlineStr"/>
      <c r="E12" s="7" t="inlineStr">
        <is>
          <t>Pending</t>
        </is>
      </c>
      <c r="F12" s="6" t="inlineStr">
        <is>
          <t>Only ~20 pages/site tested so far; takes days</t>
        </is>
      </c>
    </row>
    <row r="13">
      <c r="A13" s="4" t="n">
        <v>9</v>
      </c>
      <c r="B13" s="5" t="inlineStr">
        <is>
          <t>1. Data Extraction</t>
        </is>
      </c>
      <c r="C13" s="6" t="inlineStr">
        <is>
          <t>TS RERA project scraper</t>
        </is>
      </c>
      <c r="D13" s="5" t="inlineStr"/>
      <c r="E13" s="7" t="inlineStr">
        <is>
          <t>In Progress</t>
        </is>
      </c>
      <c r="F13" s="6" t="inlineStr">
        <is>
          <t>Built; needs manual captcha; data not collected</t>
        </is>
      </c>
    </row>
    <row r="14">
      <c r="A14" s="4" t="n">
        <v>10</v>
      </c>
      <c r="B14" s="5" t="inlineStr">
        <is>
          <t>2. Data Consolidation</t>
        </is>
      </c>
      <c r="C14" s="6" t="inlineStr">
        <is>
          <t>Merge all sources into one CSV</t>
        </is>
      </c>
      <c r="D14" s="5" t="inlineStr"/>
      <c r="E14" s="7" t="inlineStr">
        <is>
          <t>Done</t>
        </is>
      </c>
      <c r="F14" s="6" t="inlineStr">
        <is>
          <t>data/output/properties_all_sources.csv</t>
        </is>
      </c>
    </row>
    <row r="15">
      <c r="A15" s="4" t="n">
        <v>11</v>
      </c>
      <c r="B15" s="5" t="inlineStr">
        <is>
          <t>2. Data Consolidation</t>
        </is>
      </c>
      <c r="C15" s="6" t="inlineStr">
        <is>
          <t>Fill pincodes from lat/long</t>
        </is>
      </c>
      <c r="D15" s="5" t="inlineStr"/>
      <c r="E15" s="7" t="inlineStr">
        <is>
          <t>Done</t>
        </is>
      </c>
      <c r="F15" s="6" t="inlineStr">
        <is>
          <t>24k to 73k rows filled</t>
        </is>
      </c>
    </row>
    <row r="16">
      <c r="A16" s="4" t="n">
        <v>12</v>
      </c>
      <c r="B16" s="5" t="inlineStr">
        <is>
          <t>2. Data Consolidation</t>
        </is>
      </c>
      <c r="C16" s="6" t="inlineStr">
        <is>
          <t>Flag near-duplicate listings</t>
        </is>
      </c>
      <c r="D16" s="5" t="inlineStr"/>
      <c r="E16" s="7" t="inlineStr">
        <is>
          <t>Pending</t>
        </is>
      </c>
      <c r="F16" s="6" t="inlineStr">
        <is>
          <t>Keep, don't delete (BRD CL-07)</t>
        </is>
      </c>
    </row>
    <row r="17">
      <c r="A17" s="4" t="n">
        <v>13</v>
      </c>
      <c r="B17" s="5" t="inlineStr">
        <is>
          <t>2. Data Consolidation</t>
        </is>
      </c>
      <c r="C17" s="6" t="inlineStr">
        <is>
          <t>Pipeline status view (last run/errors)</t>
        </is>
      </c>
      <c r="D17" s="5" t="inlineStr"/>
      <c r="E17" s="7" t="inlineStr">
        <is>
          <t>Pending</t>
        </is>
      </c>
      <c r="F17" s="6" t="inlineStr">
        <is>
          <t>BRD ADM-04</t>
        </is>
      </c>
    </row>
    <row r="18">
      <c r="A18" s="4" t="n">
        <v>14</v>
      </c>
      <c r="B18" s="5" t="inlineStr">
        <is>
          <t>3. Cleaning &amp; ETL</t>
        </is>
      </c>
      <c r="C18" s="6" t="inlineStr">
        <is>
          <t>Normalise categories, deal type</t>
        </is>
      </c>
      <c r="D18" s="5" t="inlineStr"/>
      <c r="E18" s="7" t="inlineStr">
        <is>
          <t>Done</t>
        </is>
      </c>
      <c r="F18" s="6" t="inlineStr">
        <is>
          <t>konu/etl/clean.py</t>
        </is>
      </c>
    </row>
    <row r="19">
      <c r="A19" s="4" t="n">
        <v>15</v>
      </c>
      <c r="B19" s="5" t="inlineStr">
        <is>
          <t>3. Cleaning &amp; ETL</t>
        </is>
      </c>
      <c r="C19" s="6" t="inlineStr">
        <is>
          <t>Outlier capping per deal type</t>
        </is>
      </c>
      <c r="D19" s="5" t="inlineStr"/>
      <c r="E19" s="7" t="inlineStr">
        <is>
          <t>Done</t>
        </is>
      </c>
      <c r="F19" s="6" t="inlineStr">
        <is>
          <t>1st-99th percentile</t>
        </is>
      </c>
    </row>
    <row r="20">
      <c r="A20" s="4" t="n">
        <v>16</v>
      </c>
      <c r="B20" s="5" t="inlineStr">
        <is>
          <t>3. Cleaning &amp; ETL</t>
        </is>
      </c>
      <c r="C20" s="6" t="inlineStr">
        <is>
          <t>Missing-value imputation + flags</t>
        </is>
      </c>
      <c r="D20" s="5" t="inlineStr"/>
      <c r="E20" s="7" t="inlineStr">
        <is>
          <t>Done</t>
        </is>
      </c>
      <c r="F20" s="6" t="inlineStr">
        <is>
          <t>konu/etl/impute.py</t>
        </is>
      </c>
    </row>
    <row r="21">
      <c r="A21" s="4" t="n">
        <v>17</v>
      </c>
      <c r="B21" s="5" t="inlineStr">
        <is>
          <t>3. Cleaning &amp; ETL</t>
        </is>
      </c>
      <c r="C21" s="6" t="inlineStr">
        <is>
          <t>Data-loss budget (max 5% rows)</t>
        </is>
      </c>
      <c r="D21" s="5" t="inlineStr"/>
      <c r="E21" s="7" t="inlineStr">
        <is>
          <t>Done</t>
        </is>
      </c>
      <c r="F21" s="6" t="inlineStr">
        <is>
          <t>Enforced in ETL</t>
        </is>
      </c>
    </row>
    <row r="22">
      <c r="A22" s="4" t="n">
        <v>18</v>
      </c>
      <c r="B22" s="5" t="inlineStr">
        <is>
          <t>3. Cleaning &amp; ETL</t>
        </is>
      </c>
      <c r="C22" s="6" t="inlineStr">
        <is>
          <t>Run ETL on new merged CSV</t>
        </is>
      </c>
      <c r="D22" s="5" t="inlineStr"/>
      <c r="E22" s="7" t="inlineStr">
        <is>
          <t>Pending</t>
        </is>
      </c>
      <c r="F22" s="6" t="inlineStr">
        <is>
          <t>New columns/sources not yet handled</t>
        </is>
      </c>
    </row>
    <row r="23">
      <c r="A23" s="4" t="n">
        <v>19</v>
      </c>
      <c r="B23" s="5" t="inlineStr">
        <is>
          <t>4. RERA Matching</t>
        </is>
      </c>
      <c r="C23" s="6" t="inlineStr">
        <is>
          <t>Fuzzy match listings to RERA projects</t>
        </is>
      </c>
      <c r="D23" s="5" t="inlineStr"/>
      <c r="E23" s="7" t="inlineStr">
        <is>
          <t>Done</t>
        </is>
      </c>
      <c r="F23" s="6" t="inlineStr">
        <is>
          <t>konu/matching/entity_match.py</t>
        </is>
      </c>
    </row>
    <row r="24">
      <c r="A24" s="4" t="n">
        <v>20</v>
      </c>
      <c r="B24" s="5" t="inlineStr">
        <is>
          <t>4. RERA Matching</t>
        </is>
      </c>
      <c r="C24" s="6" t="inlineStr">
        <is>
          <t>Collect RERA project data</t>
        </is>
      </c>
      <c r="D24" s="5" t="inlineStr"/>
      <c r="E24" s="7" t="inlineStr">
        <is>
          <t>Pending</t>
        </is>
      </c>
      <c r="F24" s="6" t="inlineStr">
        <is>
          <t>projects_from_jsonl.csv missing</t>
        </is>
      </c>
    </row>
    <row r="25">
      <c r="A25" s="4" t="n">
        <v>21</v>
      </c>
      <c r="B25" s="5" t="inlineStr">
        <is>
          <t>4. RERA Matching</t>
        </is>
      </c>
      <c r="C25" s="6" t="inlineStr">
        <is>
          <t>Re-run matching on merged data</t>
        </is>
      </c>
      <c r="D25" s="5" t="inlineStr"/>
      <c r="E25" s="7" t="inlineStr">
        <is>
          <t>Pending</t>
        </is>
      </c>
      <c r="F25" s="6" t="inlineStr">
        <is>
          <t>Needs RERA data first</t>
        </is>
      </c>
    </row>
    <row r="26">
      <c r="A26" s="4" t="n">
        <v>22</v>
      </c>
      <c r="B26" s="5" t="inlineStr">
        <is>
          <t>5. EDA</t>
        </is>
      </c>
      <c r="C26" s="6" t="inlineStr">
        <is>
          <t>Raw data and merge EDA</t>
        </is>
      </c>
      <c r="D26" s="5" t="inlineStr"/>
      <c r="E26" s="7" t="inlineStr">
        <is>
          <t>Done</t>
        </is>
      </c>
      <c r="F26" s="6" t="inlineStr">
        <is>
          <t>Notebooks 01, 02</t>
        </is>
      </c>
    </row>
    <row r="27">
      <c r="A27" s="4" t="n">
        <v>23</v>
      </c>
      <c r="B27" s="5" t="inlineStr">
        <is>
          <t>5. EDA</t>
        </is>
      </c>
      <c r="C27" s="6" t="inlineStr">
        <is>
          <t>In-depth EDA on cleaned data</t>
        </is>
      </c>
      <c r="D27" s="5" t="inlineStr"/>
      <c r="E27" s="7" t="inlineStr">
        <is>
          <t>Done</t>
        </is>
      </c>
      <c r="F27" s="6" t="inlineStr">
        <is>
          <t>Notebook 04</t>
        </is>
      </c>
    </row>
    <row r="28">
      <c r="A28" s="4" t="n">
        <v>24</v>
      </c>
      <c r="B28" s="5" t="inlineStr">
        <is>
          <t>5. EDA</t>
        </is>
      </c>
      <c r="C28" s="6" t="inlineStr">
        <is>
          <t>EDA on newly crawled data</t>
        </is>
      </c>
      <c r="D28" s="5" t="inlineStr"/>
      <c r="E28" s="7" t="inlineStr">
        <is>
          <t>Pending</t>
        </is>
      </c>
      <c r="F28" s="6" t="inlineStr"/>
    </row>
    <row r="29">
      <c r="A29" s="4" t="n">
        <v>25</v>
      </c>
      <c r="B29" s="5" t="inlineStr">
        <is>
          <t>6. Feature Engineering</t>
        </is>
      </c>
      <c r="C29" s="6" t="inlineStr">
        <is>
          <t>Sale-only dataset, log price, floor ratio</t>
        </is>
      </c>
      <c r="D29" s="5" t="inlineStr"/>
      <c r="E29" s="7" t="inlineStr">
        <is>
          <t>Done</t>
        </is>
      </c>
      <c r="F29" s="6" t="inlineStr">
        <is>
          <t>Notebook 03</t>
        </is>
      </c>
    </row>
    <row r="30">
      <c r="A30" s="4" t="n">
        <v>26</v>
      </c>
      <c r="B30" s="5" t="inlineStr">
        <is>
          <t>6. Feature Engineering</t>
        </is>
      </c>
      <c r="C30" s="6" t="inlineStr">
        <is>
          <t>Train/test split, encoding, scaling, VIF</t>
        </is>
      </c>
      <c r="D30" s="5" t="inlineStr"/>
      <c r="E30" s="7" t="inlineStr">
        <is>
          <t>Done</t>
        </is>
      </c>
      <c r="F30" s="6" t="inlineStr">
        <is>
          <t>Notebook 05</t>
        </is>
      </c>
    </row>
    <row r="31">
      <c r="A31" s="4" t="n">
        <v>27</v>
      </c>
      <c r="B31" s="5" t="inlineStr">
        <is>
          <t>6. Feature Engineering</t>
        </is>
      </c>
      <c r="C31" s="6" t="inlineStr">
        <is>
          <t>Final model-ready dataset on full data</t>
        </is>
      </c>
      <c r="D31" s="5" t="inlineStr"/>
      <c r="E31" s="7" t="inlineStr">
        <is>
          <t>Pending</t>
        </is>
      </c>
      <c r="F31" s="6" t="inlineStr">
        <is>
          <t>After full crawl + ETL re-run</t>
        </is>
      </c>
    </row>
    <row r="32">
      <c r="A32" s="4" t="n">
        <v>28</v>
      </c>
      <c r="B32" s="5" t="inlineStr">
        <is>
          <t>7. Price Model</t>
        </is>
      </c>
      <c r="C32" s="6" t="inlineStr">
        <is>
          <t>Baseline model (e.g. linear)</t>
        </is>
      </c>
      <c r="D32" s="5" t="inlineStr"/>
      <c r="E32" s="7" t="inlineStr">
        <is>
          <t>Pending</t>
        </is>
      </c>
      <c r="F32" s="6" t="inlineStr"/>
    </row>
    <row r="33">
      <c r="A33" s="4" t="n">
        <v>29</v>
      </c>
      <c r="B33" s="5" t="inlineStr">
        <is>
          <t>7. Price Model</t>
        </is>
      </c>
      <c r="C33" s="6" t="inlineStr">
        <is>
          <t>Tree/boosting models + tuning</t>
        </is>
      </c>
      <c r="D33" s="5" t="inlineStr"/>
      <c r="E33" s="7" t="inlineStr">
        <is>
          <t>Pending</t>
        </is>
      </c>
      <c r="F33" s="6" t="inlineStr"/>
    </row>
    <row r="34">
      <c r="A34" s="4" t="n">
        <v>30</v>
      </c>
      <c r="B34" s="5" t="inlineStr">
        <is>
          <t>7. Price Model</t>
        </is>
      </c>
      <c r="C34" s="6" t="inlineStr">
        <is>
          <t>Evaluation (MAE, MAPE, by locality)</t>
        </is>
      </c>
      <c r="D34" s="5" t="inlineStr"/>
      <c r="E34" s="7" t="inlineStr">
        <is>
          <t>Pending</t>
        </is>
      </c>
      <c r="F34" s="6" t="inlineStr"/>
    </row>
    <row r="35">
      <c r="A35" s="4" t="n">
        <v>31</v>
      </c>
      <c r="B35" s="5" t="inlineStr">
        <is>
          <t>7. Price Model</t>
        </is>
      </c>
      <c r="C35" s="6" t="inlineStr">
        <is>
          <t>Price range + confidence</t>
        </is>
      </c>
      <c r="D35" s="5" t="inlineStr"/>
      <c r="E35" s="7" t="inlineStr">
        <is>
          <t>Pending</t>
        </is>
      </c>
      <c r="F35" s="6" t="inlineStr">
        <is>
          <t>BRD KE-02</t>
        </is>
      </c>
    </row>
    <row r="36">
      <c r="A36" s="4" t="n">
        <v>32</v>
      </c>
      <c r="B36" s="5" t="inlineStr">
        <is>
          <t>7. Price Model</t>
        </is>
      </c>
      <c r="C36" s="6" t="inlineStr">
        <is>
          <t>Top value drivers (explainability)</t>
        </is>
      </c>
      <c r="D36" s="5" t="inlineStr"/>
      <c r="E36" s="7" t="inlineStr">
        <is>
          <t>Pending</t>
        </is>
      </c>
      <c r="F36" s="6" t="inlineStr">
        <is>
          <t>BRD KE-04</t>
        </is>
      </c>
    </row>
    <row r="37">
      <c r="A37" s="4" t="n">
        <v>33</v>
      </c>
      <c r="B37" s="5" t="inlineStr">
        <is>
          <t>7. Price Model</t>
        </is>
      </c>
      <c r="C37" s="6" t="inlineStr">
        <is>
          <t>'Insufficient data' rule for unsupported areas</t>
        </is>
      </c>
      <c r="D37" s="5" t="inlineStr"/>
      <c r="E37" s="7" t="inlineStr">
        <is>
          <t>Pending</t>
        </is>
      </c>
      <c r="F37" s="6" t="inlineStr">
        <is>
          <t>BRD KE-01, KE-05</t>
        </is>
      </c>
    </row>
    <row r="38">
      <c r="A38" s="4" t="n">
        <v>34</v>
      </c>
      <c r="B38" s="5" t="inlineStr">
        <is>
          <t>8. Deployment</t>
        </is>
      </c>
      <c r="C38" s="6" t="inlineStr">
        <is>
          <t>Prediction API with model version log</t>
        </is>
      </c>
      <c r="D38" s="5" t="inlineStr"/>
      <c r="E38" s="7" t="inlineStr">
        <is>
          <t>Pending</t>
        </is>
      </c>
      <c r="F38" s="6" t="inlineStr">
        <is>
          <t>BRD KE-03</t>
        </is>
      </c>
    </row>
    <row r="39">
      <c r="A39" s="4" t="n">
        <v>35</v>
      </c>
      <c r="B39" s="5" t="inlineStr">
        <is>
          <t>8. Deployment</t>
        </is>
      </c>
      <c r="C39" s="6" t="inlineStr">
        <is>
          <t>Monitoring (errors, drift, coverage)</t>
        </is>
      </c>
      <c r="D39" s="5" t="inlineStr"/>
      <c r="E39" s="7" t="inlineStr">
        <is>
          <t>Pending</t>
        </is>
      </c>
      <c r="F39" s="6" t="inlineStr">
        <is>
          <t>BRD KE-06</t>
        </is>
      </c>
    </row>
    <row r="40">
      <c r="A40" s="4" t="n">
        <v>36</v>
      </c>
      <c r="B40" s="5" t="inlineStr">
        <is>
          <t>8. Deployment</t>
        </is>
      </c>
      <c r="C40" s="6" t="inlineStr">
        <is>
          <t>Legal disclaimer in UI</t>
        </is>
      </c>
      <c r="D40" s="5" t="inlineStr"/>
      <c r="E40" s="7" t="inlineStr">
        <is>
          <t>Pending</t>
        </is>
      </c>
      <c r="F40" s="6" t="inlineStr">
        <is>
          <t>BRD KE-07</t>
        </is>
      </c>
    </row>
  </sheetData>
  <autoFilter ref="A4:F40"/>
  <conditionalFormatting sqref="E5:E1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"Pending"</formula>
    </cfRule>
  </conditionalFormatting>
  <dataValidations count="1">
    <dataValidation sqref="E5:E100" showDropDown="0" showInputMessage="0" showErrorMessage="1" allowBlank="0" errorTitle="Status" error="Choose Done, In Progress or Pending" type="list">
      <formula1>"Done,In Progress,Pending"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Progress Summary</t>
        </is>
      </c>
    </row>
    <row r="3">
      <c r="A3" s="8" t="inlineStr">
        <is>
          <t>Module</t>
        </is>
      </c>
      <c r="B3" s="8" t="inlineStr">
        <is>
          <t>Total</t>
        </is>
      </c>
      <c r="C3" s="8" t="inlineStr">
        <is>
          <t>Done</t>
        </is>
      </c>
      <c r="D3" s="8" t="inlineStr">
        <is>
          <t>In Progress</t>
        </is>
      </c>
      <c r="E3" s="8" t="inlineStr">
        <is>
          <t>Pending</t>
        </is>
      </c>
      <c r="F3" s="8" t="inlineStr">
        <is>
          <t>% Done</t>
        </is>
      </c>
    </row>
    <row r="4">
      <c r="A4" s="9" t="inlineStr">
        <is>
          <t>1. Data Extraction</t>
        </is>
      </c>
      <c r="B4" s="10">
        <f>COUNTIF(Tracker!$B$5:$B$100,A4)</f>
        <v/>
      </c>
      <c r="C4" s="10">
        <f>COUNTIFS(Tracker!$B$5:$B$100,$A4,Tracker!$E$5:$E$100,"Done")</f>
        <v/>
      </c>
      <c r="D4" s="10">
        <f>COUNTIFS(Tracker!$B$5:$B$100,$A4,Tracker!$E$5:$E$100,"In Progress")</f>
        <v/>
      </c>
      <c r="E4" s="10">
        <f>COUNTIFS(Tracker!$B$5:$B$100,$A4,Tracker!$E$5:$E$100,"Pending")</f>
        <v/>
      </c>
      <c r="F4" s="11">
        <f>IF(B4=0,0,C4/B4)</f>
        <v/>
      </c>
    </row>
    <row r="5">
      <c r="A5" s="9" t="inlineStr">
        <is>
          <t>2. Data Consolidation</t>
        </is>
      </c>
      <c r="B5" s="10">
        <f>COUNTIF(Tracker!$B$5:$B$100,A5)</f>
        <v/>
      </c>
      <c r="C5" s="10">
        <f>COUNTIFS(Tracker!$B$5:$B$100,$A5,Tracker!$E$5:$E$100,"Done")</f>
        <v/>
      </c>
      <c r="D5" s="10">
        <f>COUNTIFS(Tracker!$B$5:$B$100,$A5,Tracker!$E$5:$E$100,"In Progress")</f>
        <v/>
      </c>
      <c r="E5" s="10">
        <f>COUNTIFS(Tracker!$B$5:$B$100,$A5,Tracker!$E$5:$E$100,"Pending")</f>
        <v/>
      </c>
      <c r="F5" s="11">
        <f>IF(B5=0,0,C5/B5)</f>
        <v/>
      </c>
    </row>
    <row r="6">
      <c r="A6" s="9" t="inlineStr">
        <is>
          <t>3. Cleaning &amp; ETL</t>
        </is>
      </c>
      <c r="B6" s="10">
        <f>COUNTIF(Tracker!$B$5:$B$100,A6)</f>
        <v/>
      </c>
      <c r="C6" s="10">
        <f>COUNTIFS(Tracker!$B$5:$B$100,$A6,Tracker!$E$5:$E$100,"Done")</f>
        <v/>
      </c>
      <c r="D6" s="10">
        <f>COUNTIFS(Tracker!$B$5:$B$100,$A6,Tracker!$E$5:$E$100,"In Progress")</f>
        <v/>
      </c>
      <c r="E6" s="10">
        <f>COUNTIFS(Tracker!$B$5:$B$100,$A6,Tracker!$E$5:$E$100,"Pending")</f>
        <v/>
      </c>
      <c r="F6" s="11">
        <f>IF(B6=0,0,C6/B6)</f>
        <v/>
      </c>
    </row>
    <row r="7">
      <c r="A7" s="9" t="inlineStr">
        <is>
          <t>4. RERA Matching</t>
        </is>
      </c>
      <c r="B7" s="10">
        <f>COUNTIF(Tracker!$B$5:$B$100,A7)</f>
        <v/>
      </c>
      <c r="C7" s="10">
        <f>COUNTIFS(Tracker!$B$5:$B$100,$A7,Tracker!$E$5:$E$100,"Done")</f>
        <v/>
      </c>
      <c r="D7" s="10">
        <f>COUNTIFS(Tracker!$B$5:$B$100,$A7,Tracker!$E$5:$E$100,"In Progress")</f>
        <v/>
      </c>
      <c r="E7" s="10">
        <f>COUNTIFS(Tracker!$B$5:$B$100,$A7,Tracker!$E$5:$E$100,"Pending")</f>
        <v/>
      </c>
      <c r="F7" s="11">
        <f>IF(B7=0,0,C7/B7)</f>
        <v/>
      </c>
    </row>
    <row r="8">
      <c r="A8" s="9" t="inlineStr">
        <is>
          <t>5. EDA</t>
        </is>
      </c>
      <c r="B8" s="10">
        <f>COUNTIF(Tracker!$B$5:$B$100,A8)</f>
        <v/>
      </c>
      <c r="C8" s="10">
        <f>COUNTIFS(Tracker!$B$5:$B$100,$A8,Tracker!$E$5:$E$100,"Done")</f>
        <v/>
      </c>
      <c r="D8" s="10">
        <f>COUNTIFS(Tracker!$B$5:$B$100,$A8,Tracker!$E$5:$E$100,"In Progress")</f>
        <v/>
      </c>
      <c r="E8" s="10">
        <f>COUNTIFS(Tracker!$B$5:$B$100,$A8,Tracker!$E$5:$E$100,"Pending")</f>
        <v/>
      </c>
      <c r="F8" s="11">
        <f>IF(B8=0,0,C8/B8)</f>
        <v/>
      </c>
    </row>
    <row r="9">
      <c r="A9" s="9" t="inlineStr">
        <is>
          <t>6. Feature Engineering</t>
        </is>
      </c>
      <c r="B9" s="10">
        <f>COUNTIF(Tracker!$B$5:$B$100,A9)</f>
        <v/>
      </c>
      <c r="C9" s="10">
        <f>COUNTIFS(Tracker!$B$5:$B$100,$A9,Tracker!$E$5:$E$100,"Done")</f>
        <v/>
      </c>
      <c r="D9" s="10">
        <f>COUNTIFS(Tracker!$B$5:$B$100,$A9,Tracker!$E$5:$E$100,"In Progress")</f>
        <v/>
      </c>
      <c r="E9" s="10">
        <f>COUNTIFS(Tracker!$B$5:$B$100,$A9,Tracker!$E$5:$E$100,"Pending")</f>
        <v/>
      </c>
      <c r="F9" s="11">
        <f>IF(B9=0,0,C9/B9)</f>
        <v/>
      </c>
    </row>
    <row r="10">
      <c r="A10" s="9" t="inlineStr">
        <is>
          <t>7. Price Model</t>
        </is>
      </c>
      <c r="B10" s="10">
        <f>COUNTIF(Tracker!$B$5:$B$100,A10)</f>
        <v/>
      </c>
      <c r="C10" s="10">
        <f>COUNTIFS(Tracker!$B$5:$B$100,$A10,Tracker!$E$5:$E$100,"Done")</f>
        <v/>
      </c>
      <c r="D10" s="10">
        <f>COUNTIFS(Tracker!$B$5:$B$100,$A10,Tracker!$E$5:$E$100,"In Progress")</f>
        <v/>
      </c>
      <c r="E10" s="10">
        <f>COUNTIFS(Tracker!$B$5:$B$100,$A10,Tracker!$E$5:$E$100,"Pending")</f>
        <v/>
      </c>
      <c r="F10" s="11">
        <f>IF(B10=0,0,C10/B10)</f>
        <v/>
      </c>
    </row>
    <row r="11">
      <c r="A11" s="9" t="inlineStr">
        <is>
          <t>8. Deployment</t>
        </is>
      </c>
      <c r="B11" s="10">
        <f>COUNTIF(Tracker!$B$5:$B$100,A11)</f>
        <v/>
      </c>
      <c r="C11" s="10">
        <f>COUNTIFS(Tracker!$B$5:$B$100,$A11,Tracker!$E$5:$E$100,"Done")</f>
        <v/>
      </c>
      <c r="D11" s="10">
        <f>COUNTIFS(Tracker!$B$5:$B$100,$A11,Tracker!$E$5:$E$100,"In Progress")</f>
        <v/>
      </c>
      <c r="E11" s="10">
        <f>COUNTIFS(Tracker!$B$5:$B$100,$A11,Tracker!$E$5:$E$100,"Pending")</f>
        <v/>
      </c>
      <c r="F11" s="11">
        <f>IF(B11=0,0,C11/B11)</f>
        <v/>
      </c>
    </row>
    <row r="12">
      <c r="A12" s="12" t="inlineStr">
        <is>
          <t>Overall</t>
        </is>
      </c>
      <c r="B12" s="13">
        <f>SUM(B4:B11)</f>
        <v/>
      </c>
      <c r="C12" s="13">
        <f>SUM(C4:C11)</f>
        <v/>
      </c>
      <c r="D12" s="13">
        <f>SUM(D4:D11)</f>
        <v/>
      </c>
      <c r="E12" s="13">
        <f>SUM(E4:E11)</f>
        <v/>
      </c>
      <c r="F12" s="14">
        <f>IF(B12=0,0,C12/B12)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2026-10-03T12:35:47Z</dcterms:created>
  <dcterms:modified xsi:type="dcterms:W3CDTF">2026-10-03T12:35:47Z</dcterms:modified>
</cp:coreProperties>
</file>